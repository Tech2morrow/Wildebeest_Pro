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49e493ef5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d787ae2d988841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"/>
    <x:numFmt numFmtId="201" formatCode="0"/>
  </x:numFmts>
  <x:fonts count="10">
    <x:font>
      <x:sz val="11"/>
      <x:name val="Carlito"/>
    </x:font>
    <x:font>
      <x:sz val="10"/>
      <x:color rgb="FF142833"/>
      <x:name val="Arial"/>
    </x:font>
    <x:font>
      <x:b/>
      <x:sz val="16"/>
      <x:color rgb="FF071F2C"/>
      <x:name val="Arial"/>
    </x:font>
    <x:font>
      <x:i/>
      <x:sz val="9"/>
      <x:color rgb="FF5C7280"/>
      <x:name val="Arial"/>
    </x:font>
    <x:font>
      <x:b/>
      <x:sz val="9"/>
      <x:color rgb="FF67808D"/>
      <x:name val="Arial"/>
    </x:font>
    <x:font>
      <x:b/>
      <x:sz val="14"/>
      <x:color rgb="FF0D3342"/>
      <x:name val="Arial"/>
    </x:font>
    <x:font>
      <x:b/>
      <x:sz val="9"/>
      <x:color rgb="FF7A4B00"/>
      <x:name val="Arial"/>
    </x:font>
    <x:font>
      <x:sz val="10"/>
      <x:color rgb="FF20333C"/>
      <x:name val="Arial"/>
    </x:font>
    <x:font>
      <x:b/>
      <x:sz val="9"/>
      <x:color rgb="FFFFFFFF"/>
      <x:name val="Arial"/>
    </x:font>
    <x:font>
      <x:i/>
      <x:sz val="9"/>
      <x:color rgb="FF63798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6CDB1"/>
      </x:patternFill>
    </x:fill>
    <x:fill>
      <x:patternFill patternType="solid">
        <x:fgColor rgb="FFFFF2CD"/>
      </x:patternFill>
    </x:fill>
    <x:fill>
      <x:patternFill patternType="solid">
        <x:fgColor rgb="FF0B3040"/>
      </x:patternFill>
    </x:fill>
    <x:fill>
      <x:patternFill patternType="solid">
        <x:fgColor rgb="FFFFF7D6"/>
      </x:patternFill>
    </x:fill>
  </x:fills>
  <x:borders count="8">
    <x:border/>
    <x:border>
      <x:left style="thin">
        <x:color rgb="FFCCDAE0"/>
      </x:left>
      <x:top style="thin">
        <x:color rgb="FFCCDAE0"/>
      </x:top>
    </x:border>
    <x:border>
      <x:right style="thin">
        <x:color rgb="FFCCDAE0"/>
      </x:right>
      <x:top style="thin">
        <x:color rgb="FFCCDAE0"/>
      </x:top>
    </x:border>
    <x:border>
      <x:left style="thin">
        <x:color rgb="FFCCDAE0"/>
      </x:left>
      <x:bottom style="thin">
        <x:color rgb="FFCCDAE0"/>
      </x:bottom>
    </x:border>
    <x:border>
      <x:right style="thin">
        <x:color rgb="FFCCDAE0"/>
      </x:right>
      <x:bottom style="thin">
        <x:color rgb="FFCCDAE0"/>
      </x:bottom>
    </x:border>
    <x:border>
      <x:right style="thin">
        <x:color rgb="FF5D7783"/>
      </x:right>
    </x:border>
    <x:border>
      <x:left style="thin">
        <x:color rgb="FF5D7783"/>
      </x:left>
      <x:right style="thin">
        <x:color rgb="FF5D7783"/>
      </x:right>
    </x:border>
    <x:border>
      <x:left style="thin">
        <x:color rgb="FF5D7783"/>
      </x:left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5" fillId="0" borderId="3" xfId="0" applyNumberFormat="1" applyFont="1" applyFill="1" applyBorder="1"/>
    <x:xf numFmtId="0" fontId="0" fillId="0" borderId="4" xfId="0" applyNumberFormat="1" applyFont="1" applyFill="1" applyBorder="1"/>
    <x:xf numFmtId="200" fontId="5" fillId="0" borderId="3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0" fontId="8" fillId="4" borderId="5" xfId="0" applyNumberFormat="1" applyFont="1" applyFill="1" applyBorder="1" applyAlignment="1">
      <x:alignment wrapText="1"/>
    </x:xf>
    <x:xf numFmtId="0" fontId="8" fillId="4" borderId="6" xfId="0" applyNumberFormat="1" applyFont="1" applyFill="1" applyBorder="1" applyAlignment="1">
      <x:alignment wrapText="1"/>
    </x:xf>
    <x:xf numFmtId="0" fontId="8" fillId="4" borderId="7" xfId="0" applyNumberFormat="1" applyFont="1" applyFill="1" applyBorder="1" applyAlignment="1">
      <x:alignment wrapText="1"/>
    </x:xf>
    <x:xf numFmtId="0" fontId="8" fillId="4" borderId="5" xfId="0" applyNumberFormat="1" applyFont="1" applyFill="1" applyBorder="1" applyAlignment="1">
      <x:alignment horizontal="center" wrapText="1"/>
    </x:xf>
    <x:xf numFmtId="0" fontId="8" fillId="4" borderId="6" xfId="0" applyNumberFormat="1" applyFont="1" applyFill="1" applyBorder="1" applyAlignment="1">
      <x:alignment horizontal="center" wrapText="1"/>
    </x:xf>
    <x:xf numFmtId="0" fontId="8" fillId="4" borderId="7" xfId="0" applyNumberFormat="1" applyFont="1" applyFill="1" applyBorder="1" applyAlignment="1">
      <x:alignment horizontal="center" wrapText="1"/>
    </x:xf>
    <x:xf numFmtId="0" fontId="8" fillId="4" borderId="5" xfId="0" applyNumberFormat="1" applyFont="1" applyFill="1" applyBorder="1" applyAlignment="1">
      <x:alignment horizontal="center" vertical="center" wrapText="1"/>
    </x:xf>
    <x:xf numFmtId="0" fontId="8" fillId="4" borderId="6" xfId="0" applyNumberFormat="1" applyFont="1" applyFill="1" applyBorder="1" applyAlignment="1">
      <x:alignment horizontal="center" vertical="center" wrapText="1"/>
    </x:xf>
    <x:xf numFmtId="0" fontId="8" fillId="4" borderId="7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76B4B"/>
      </x:font>
      <x:fill>
        <x:patternFill patternType="solid">
          <x:bgColor rgb="FFDDF4E9"/>
        </x:patternFill>
      </x:fill>
    </x:dxf>
    <x:dxf>
      <x:font>
        <x:b/>
        <x:color rgb="FFA52230"/>
      </x:font>
      <x:fill>
        <x:patternFill patternType="solid">
          <x:bgColor rgb="FFFBE1E3"/>
        </x:patternFill>
      </x:fill>
    </x:dxf>
    <x:dxf>
      <x:font>
        <x:b/>
        <x:color rgb="FF9B5200"/>
      </x:font>
      <x:fill>
        <x:patternFill patternType="solid">
          <x:bgColor rgb="FFFDE9D2"/>
        </x:patternFill>
      </x:fill>
    </x:dxf>
    <x:dxf>
      <x:font>
        <x:color rgb="FF755600"/>
      </x:font>
      <x:fill>
        <x:patternFill patternType="solid">
          <x:bgColor rgb="FFFFF4C2"/>
        </x:patternFill>
      </x:fill>
    </x:dxf>
    <x:dxf>
      <x:font>
        <x:b/>
        <x:color rgb="FFA52230"/>
      </x:font>
      <x:fill>
        <x:patternFill patternType="solid">
          <x:bgColor rgb="FFFBE1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0983eda8a474b" /><Relationship Type="http://schemas.openxmlformats.org/officeDocument/2006/relationships/theme" Target="/xl/theme/theme1.xml" Id="Rf0b6eaff6f8248e1" /><Relationship Type="http://schemas.openxmlformats.org/officeDocument/2006/relationships/sharedStrings" Target="/xl/sharedStrings.xml" Id="R23765b10b1b143f6" /><Relationship Type="http://schemas.openxmlformats.org/officeDocument/2006/relationships/worksheet" Target="/xl/worksheets/sheet1.xml" Id="Rd787ae2d9888418f" /></Relationships>
</file>

<file path=xl/tables/table1.xml><?xml version="1.0" encoding="utf-8"?>
<x:table xmlns:x="http://schemas.openxmlformats.org/spreadsheetml/2006/main" id="1" name="WildebeestBOM" displayName="WildebeestBOM" ref="A10:M45" headerRowCount="1" totalsRowCount="0" totalsRowShown="0">
  <x:autoFilter ref="A10:M45"/>
  <x:tableColumns count="13">
    <x:tableColumn id="1" name="ID"/>
    <x:tableColumn id="2" name="Subsystem"/>
    <x:tableColumn id="3" name="Component"/>
    <x:tableColumn id="4" name="Qty"/>
    <x:tableColumn id="5" name="Requirement"/>
    <x:tableColumn id="6" name="Reference / part"/>
    <x:tableColumn id="7" name="Interface / rail"/>
    <x:tableColumn id="8" name="Key requirement"/>
    <x:tableColumn id="9" name="Lifecycle"/>
    <x:tableColumn id="10" name="Verification status"/>
    <x:tableColumn id="11" name="Unit cost (USD)"/>
    <x:tableColumn id="12" name="Extended cost (USD)"/>
    <x:tableColumn id="13" name="Commissioning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232fb01aa24f1b" /></Relationships>
</file>

<file path=xl/worksheets/sheet1.xml><?xml version="1.0" encoding="utf-8"?>
<x:worksheet xmlns:x="http://schemas.openxmlformats.org/spreadsheetml/2006/main">
  <x:sheetPr>
    <x:tabColor rgb="FF0E766E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5" hidden="0" customWidth="1"/>
    <x:col min="4" max="4" width="7" hidden="0" customWidth="1"/>
    <x:col min="5" max="5" width="13" hidden="0" customWidth="1"/>
    <x:col min="6" max="6" width="38" hidden="0" customWidth="1"/>
    <x:col min="7" max="7" width="25" hidden="0" customWidth="1"/>
    <x:col min="8" max="8" width="48" hidden="0" customWidth="1"/>
    <x:col min="9" max="9" width="18" hidden="0" customWidth="1"/>
    <x:col min="10" max="10" width="18" hidden="0" customWidth="1"/>
    <x:col min="11" max="11" width="16" hidden="0" customWidth="1"/>
    <x:col min="12" max="12" width="18" hidden="0" customWidth="1"/>
    <x:col min="13" max="13" width="48" hidden="0" customWidth="1"/>
  </x:cols>
  <x:sheetData>
    <x:row r="2">
      <x:c r="A2" s="2" t="str">
        <x:v>Wildebeest Pro — hardware BOM and commissioning tracker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3" t="str">
        <x:v>Concept-derived inventory. Yellow cells require builder input; every electrical rating and measured dimension must be verified before powered motion.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6">
      <x:c r="A6" s="8" t="str">
        <x:v>Required lines</x:v>
      </x:c>
      <x:c r="B6" s="9" t="str"/>
      <x:c r="C6" s="8" t="str">
        <x:v>Verified lines</x:v>
      </x:c>
      <x:c r="D6" s="9" t="str"/>
      <x:c r="E6" s="8" t="str">
        <x:v>Known subtotal (USD)</x:v>
      </x:c>
      <x:c r="F6" s="9" t="str"/>
      <x:c r="G6" s="8" t="str">
        <x:v>Release gate</x:v>
      </x:c>
      <x:c r="H6" s="9" t="str"/>
    </x:row>
    <x:row r="7">
      <x:c r="A7" s="10" t="n">
        <x:f>COUNTIFS(E11:E45,"Required")</x:f>
        <x:v>25</x:v>
      </x:c>
      <x:c r="B7" s="11"/>
      <x:c r="C7" s="10" t="n">
        <x:f>COUNTIFS(J11:J45,"Verified")</x:f>
        <x:v>0</x:v>
      </x:c>
      <x:c r="D7" s="11"/>
      <x:c r="E7" s="12" t="n">
        <x:f>SUM(L11:L45)</x:f>
        <x:v>0</x:v>
      </x:c>
      <x:c r="F7" s="11"/>
      <x:c r="G7" s="10" t="str">
        <x:f>IF(COUNTIFS(J11:J45,"Blocker")&gt;0,"BLOCKED","REVIEW")</x:f>
        <x:v>BLOCKED</x:v>
      </x:c>
      <x:c r="H7" s="11"/>
    </x:row>
    <x:row r="9" ht="30" customHeight="1">
      <x:c r="A9" s="15" t="str">
        <x:v>POWER SAFETY: use a fused pack with a correctly rated 2S BMS and a physical E-stop that removes motor energy. Do not power motors from the Jetson or Arduino regulator.</x:v>
      </x:c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</x:row>
    <x:row r="10" ht="34" customHeight="1">
      <x:c r="A10" s="28" t="str">
        <x:v>ID</x:v>
      </x:c>
      <x:c r="B10" s="29" t="str">
        <x:v>Subsystem</x:v>
      </x:c>
      <x:c r="C10" s="29" t="str">
        <x:v>Component</x:v>
      </x:c>
      <x:c r="D10" s="29" t="str">
        <x:v>Qty</x:v>
      </x:c>
      <x:c r="E10" s="29" t="str">
        <x:v>Requirement</x:v>
      </x:c>
      <x:c r="F10" s="29" t="str">
        <x:v>Reference / part</x:v>
      </x:c>
      <x:c r="G10" s="29" t="str">
        <x:v>Interface / rail</x:v>
      </x:c>
      <x:c r="H10" s="29" t="str">
        <x:v>Key requirement</x:v>
      </x:c>
      <x:c r="I10" s="29" t="str">
        <x:v>Lifecycle</x:v>
      </x:c>
      <x:c r="J10" s="29" t="str">
        <x:v>Verification status</x:v>
      </x:c>
      <x:c r="K10" s="29" t="str">
        <x:v>Unit cost (USD)</x:v>
      </x:c>
      <x:c r="L10" s="29" t="str">
        <x:v>Extended cost (USD)</x:v>
      </x:c>
      <x:c r="M10" s="30" t="str">
        <x:v>Commissioning action</x:v>
      </x:c>
    </x:row>
    <x:row r="11" ht="42" customHeight="1">
      <x:c r="A11" s="31" t="str">
        <x:v>CMP-001</x:v>
      </x:c>
      <x:c r="B11" s="31" t="str">
        <x:v>Compute</x:v>
      </x:c>
      <x:c r="C11" s="31" t="str">
        <x:v>Jetson Nano developer kit</x:v>
      </x:c>
      <x:c r="D11" s="33" t="n">
        <x:v>1</x:v>
      </x:c>
      <x:c r="E11" s="31" t="str">
        <x:v>Required</x:v>
      </x:c>
      <x:c r="F11" s="31" t="str">
        <x:v>NVIDIA Jetson Nano; exact module TBD</x:v>
      </x:c>
      <x:c r="G11" s="31" t="str">
        <x:v>5 V regulated; USB; CSI</x:v>
      </x:c>
      <x:c r="H11" s="32" t="str">
        <x:v>Confirm module/revision, storage, thermals and supported OS image</x:v>
      </x:c>
      <x:c r="I11" s="32" t="str">
        <x:v>Concept hardware</x:v>
      </x:c>
      <x:c r="J11" s="32" t="str">
        <x:v>Verify</x:v>
      </x:c>
      <x:c r="K11" s="35"/>
      <x:c r="L11" s="34" t="str">
        <x:f>IF(K11="","",D11*K11)</x:f>
      </x:c>
      <x:c r="M11" s="32" t="str">
        <x:v>Record board revision and sustained-load power draw</x:v>
      </x:c>
    </x:row>
    <x:row r="12" ht="42" customHeight="1">
      <x:c r="A12" s="31" t="str">
        <x:v>CMP-002</x:v>
      </x:c>
      <x:c r="B12" s="31" t="str">
        <x:v>Compute</x:v>
      </x:c>
      <x:c r="C12" s="31" t="str">
        <x:v>High-endurance microSD or supported storage</x:v>
      </x:c>
      <x:c r="D12" s="33" t="n">
        <x:v>1</x:v>
      </x:c>
      <x:c r="E12" s="31" t="str">
        <x:v>Required</x:v>
      </x:c>
      <x:c r="F12" s="31" t="str">
        <x:v>64 GB minimum recommended; brand TBD</x:v>
      </x:c>
      <x:c r="G12" s="31" t="str">
        <x:v>Jetson storage</x:v>
      </x:c>
      <x:c r="H12" s="32" t="str">
        <x:v>Use high-endurance media; size for ROS bags and container images</x:v>
      </x:c>
      <x:c r="I12" s="32" t="str">
        <x:v>Add</x:v>
      </x:c>
      <x:c r="J12" s="32" t="str">
        <x:v>TBD</x:v>
      </x:c>
      <x:c r="K12" s="35"/>
      <x:c r="L12" s="34" t="str">
        <x:f>IF(K12="","",D12*K12)</x:f>
      </x:c>
      <x:c r="M12" s="32" t="str">
        <x:v>Select media and run read/write verification</x:v>
      </x:c>
    </x:row>
    <x:row r="13" ht="42" customHeight="1">
      <x:c r="A13" s="31" t="str">
        <x:v>CMP-003</x:v>
      </x:c>
      <x:c r="B13" s="31" t="str">
        <x:v>Compute</x:v>
      </x:c>
      <x:c r="C13" s="31" t="str">
        <x:v>Active cooling fan</x:v>
      </x:c>
      <x:c r="D13" s="33" t="n">
        <x:v>1</x:v>
      </x:c>
      <x:c r="E13" s="31" t="str">
        <x:v>Required</x:v>
      </x:c>
      <x:c r="F13" s="31" t="str">
        <x:v>Noctua NF-A4x20 5 V appears in CAD; verify</x:v>
      </x:c>
      <x:c r="G13" s="31" t="str">
        <x:v>5 V logic rail</x:v>
      </x:c>
      <x:c r="H13" s="32" t="str">
        <x:v>Maintain Jetson temperature without back-feeding a GPIO header</x:v>
      </x:c>
      <x:c r="I13" s="32" t="str">
        <x:v>CAD asset</x:v>
      </x:c>
      <x:c r="J13" s="32" t="str">
        <x:v>Verify</x:v>
      </x:c>
      <x:c r="K13" s="35"/>
      <x:c r="L13" s="34" t="str">
        <x:f>IF(K13="","",D13*K13)</x:f>
      </x:c>
      <x:c r="M13" s="32" t="str">
        <x:v>Confirm connector, airflow direction and clearance</x:v>
      </x:c>
    </x:row>
    <x:row r="14" ht="42" customHeight="1">
      <x:c r="A14" s="31" t="str">
        <x:v>CTL-001</x:v>
      </x:c>
      <x:c r="B14" s="31" t="str">
        <x:v>Control</x:v>
      </x:c>
      <x:c r="C14" s="31" t="str">
        <x:v>Arduino Uno R3</x:v>
      </x:c>
      <x:c r="D14" s="33" t="n">
        <x:v>1</x:v>
      </x:c>
      <x:c r="E14" s="31" t="str">
        <x:v>Required</x:v>
      </x:c>
      <x:c r="F14" s="31" t="str">
        <x:v>Arduino Uno R3</x:v>
      </x:c>
      <x:c r="G14" s="31" t="str">
        <x:v>USB serial; 5 V logic</x:v>
      </x:c>
      <x:c r="H14" s="32" t="str">
        <x:v>Flash watchdog firmware; isolate motor noise; common ground at planned star point</x:v>
      </x:c>
      <x:c r="I14" s="32" t="str">
        <x:v>Concept hardware</x:v>
      </x:c>
      <x:c r="J14" s="32" t="str">
        <x:v>Verify</x:v>
      </x:c>
      <x:c r="K14" s="35"/>
      <x:c r="L14" s="34" t="str">
        <x:f>IF(K14="","",D14*K14)</x:f>
      </x:c>
      <x:c r="M14" s="32" t="str">
        <x:v>Bench-test serial protocol and E-stop sense</x:v>
      </x:c>
    </x:row>
    <x:row r="15" ht="42" customHeight="1">
      <x:c r="A15" s="31" t="str">
        <x:v>DRV-001</x:v>
      </x:c>
      <x:c r="B15" s="31" t="str">
        <x:v>Drive</x:v>
      </x:c>
      <x:c r="C15" s="31" t="str">
        <x:v>L298N dual H-bridge module</x:v>
      </x:c>
      <x:c r="D15" s="33" t="n">
        <x:v>1</x:v>
      </x:c>
      <x:c r="E15" s="31" t="str">
        <x:v>Required</x:v>
      </x:c>
      <x:c r="F15" s="31" t="str">
        <x:v>L298N red module</x:v>
      </x:c>
      <x:c r="G15" s="31" t="str">
        <x:v>Motor rail; 5 V logic; PWM</x:v>
      </x:c>
      <x:c r="H15" s="32" t="str">
        <x:v>Verify motor stall current and voltage drop stay within module thermal limits</x:v>
      </x:c>
      <x:c r="I15" s="32" t="str">
        <x:v>Concept hardware</x:v>
      </x:c>
      <x:c r="J15" s="32" t="str">
        <x:v>Blocker</x:v>
      </x:c>
      <x:c r="K15" s="35"/>
      <x:c r="L15" s="34" t="str">
        <x:f>IF(K15="","",D15*K15)</x:f>
      </x:c>
      <x:c r="M15" s="32" t="str">
        <x:v>Measure stall current; replace if margin is inadequate</x:v>
      </x:c>
    </x:row>
    <x:row r="16" ht="42" customHeight="1">
      <x:c r="A16" s="31" t="str">
        <x:v>DRV-002</x:v>
      </x:c>
      <x:c r="B16" s="31" t="str">
        <x:v>Drive</x:v>
      </x:c>
      <x:c r="C16" s="31" t="str">
        <x:v>Geared DC motor</x:v>
      </x:c>
      <x:c r="D16" s="33" t="n">
        <x:v>4</x:v>
      </x:c>
      <x:c r="E16" s="31" t="str">
        <x:v>Required</x:v>
      </x:c>
      <x:c r="F16" s="31" t="str">
        <x:v>Four motor/gearbox instances in CAD; exact model TBD</x:v>
      </x:c>
      <x:c r="G16" s="31" t="str">
        <x:v>Paired left/right driver outputs</x:v>
      </x:c>
      <x:c r="H16" s="32" t="str">
        <x:v>Matched set; rate each side channel for two motors and loaded stall current</x:v>
      </x:c>
      <x:c r="I16" s="32" t="str">
        <x:v>CAD asset</x:v>
      </x:c>
      <x:c r="J16" s="32" t="str">
        <x:v>TBD</x:v>
      </x:c>
      <x:c r="K16" s="35"/>
      <x:c r="L16" s="34" t="str">
        <x:f>IF(K16="","",D16*K16)</x:f>
      </x:c>
      <x:c r="M16" s="32" t="str">
        <x:v>Record model, ratio, no-load and individual/paired stall current</x:v>
      </x:c>
    </x:row>
    <x:row r="17" ht="42" customHeight="1">
      <x:c r="A17" s="31" t="str">
        <x:v>DRV-003</x:v>
      </x:c>
      <x:c r="B17" s="31" t="str">
        <x:v>Drive</x:v>
      </x:c>
      <x:c r="C17" s="31" t="str">
        <x:v>Drive wheel</x:v>
      </x:c>
      <x:c r="D17" s="33" t="n">
        <x:v>4</x:v>
      </x:c>
      <x:c r="E17" s="31" t="str">
        <x:v>Required</x:v>
      </x:c>
      <x:c r="F17" s="31" t="str">
        <x:v>Four wheel instances in CAD; nominal radius 33.622 mm</x:v>
      </x:c>
      <x:c r="G17" s="31" t="str">
        <x:v>Mechanical</x:v>
      </x:c>
      <x:c r="H17" s="32" t="str">
        <x:v>Measure loaded rolling radius; secure every hub without slip</x:v>
      </x:c>
      <x:c r="I17" s="32" t="str">
        <x:v>CAD asset</x:v>
      </x:c>
      <x:c r="J17" s="32" t="str">
        <x:v>Verify</x:v>
      </x:c>
      <x:c r="K17" s="35"/>
      <x:c r="L17" s="34" t="str">
        <x:f>IF(K17="","",D17*K17)</x:f>
      </x:c>
      <x:c r="M17" s="32" t="str">
        <x:v>Enter loaded radius in ROS and firmware configs</x:v>
      </x:c>
    </x:row>
    <x:row r="18" ht="42" customHeight="1">
      <x:c r="A18" s="31" t="str">
        <x:v>DRV-004</x:v>
      </x:c>
      <x:c r="B18" s="31" t="str">
        <x:v>Drive</x:v>
      </x:c>
      <x:c r="C18" s="31" t="str">
        <x:v>Protected MOSFET dual-channel driver upgrade</x:v>
      </x:c>
      <x:c r="D18" s="33" t="n">
        <x:v>1</x:v>
      </x:c>
      <x:c r="E18" s="31" t="str">
        <x:v>Conditional</x:v>
      </x:c>
      <x:c r="F18" s="31" t="str">
        <x:v>Exact part TBD after paired-motor current test</x:v>
      </x:c>
      <x:c r="G18" s="31" t="str">
        <x:v>Motor rail; logic; PWM</x:v>
      </x:c>
      <x:c r="H18" s="32" t="str">
        <x:v>Prefer a protected driver with margin above each side pair's measured stall current</x:v>
      </x:c>
      <x:c r="I18" s="32" t="str">
        <x:v>Recommended upgrade</x:v>
      </x:c>
      <x:c r="J18" s="32" t="str">
        <x:v>TBD</x:v>
      </x:c>
      <x:c r="K18" s="35"/>
      <x:c r="L18" s="34" t="str">
        <x:f>IF(K18="","",D18*K18)</x:f>
      </x:c>
      <x:c r="M18" s="32" t="str">
        <x:v>Replace L298N if voltage-drop, current or thermal margin is inadequate</x:v>
      </x:c>
    </x:row>
    <x:row r="19" ht="42" customHeight="1">
      <x:c r="A19" s="31" t="str">
        <x:v>ODO-001</x:v>
      </x:c>
      <x:c r="B19" s="31" t="str">
        <x:v>Odometry</x:v>
      </x:c>
      <x:c r="C19" s="31" t="str">
        <x:v>Wheel quadrature encoder</x:v>
      </x:c>
      <x:c r="D19" s="33" t="n">
        <x:v>2</x:v>
      </x:c>
      <x:c r="E19" s="31" t="str">
        <x:v>Required</x:v>
      </x:c>
      <x:c r="F19" s="31" t="str">
        <x:v>Optical or Hall encoder; exact part TBD</x:v>
      </x:c>
      <x:c r="G19" s="31" t="str">
        <x:v>5 V encoder to Arduino pins 2/4 and 3/12</x:v>
      </x:c>
      <x:c r="H19" s="32" t="str">
        <x:v>Use non-contact quadrature sensing rated for wheel RPM</x:v>
      </x:c>
      <x:c r="I19" s="32" t="str">
        <x:v>Required upgrade</x:v>
      </x:c>
      <x:c r="J19" s="32" t="str">
        <x:v>Blocker</x:v>
      </x:c>
      <x:c r="K19" s="35"/>
      <x:c r="L19" s="34" t="str">
        <x:f>IF(K19="","",D19*K19)</x:f>
      </x:c>
      <x:c r="M19" s="32" t="str">
        <x:v>Select encoder and measure effective counts/revolution</x:v>
      </x:c>
    </x:row>
    <x:row r="20" ht="42" customHeight="1">
      <x:c r="A20" s="31" t="str">
        <x:v>ODO-002</x:v>
      </x:c>
      <x:c r="B20" s="31" t="str">
        <x:v>Odometry</x:v>
      </x:c>
      <x:c r="C20" s="31" t="str">
        <x:v>KY-040 rotary encoder module</x:v>
      </x:c>
      <x:c r="D20" s="33" t="n">
        <x:v>2</x:v>
      </x:c>
      <x:c r="E20" s="31" t="str">
        <x:v>Optional</x:v>
      </x:c>
      <x:c r="F20" s="31" t="str">
        <x:v>KY-040 appears in source BOM/CAD</x:v>
      </x:c>
      <x:c r="G20" s="31" t="str">
        <x:v>5 V digital</x:v>
      </x:c>
      <x:c r="H20" s="32" t="str">
        <x:v>Mechanical contact encoder is unsuitable for dependable high-speed wheel odometry</x:v>
      </x:c>
      <x:c r="I20" s="32" t="str">
        <x:v>Replace</x:v>
      </x:c>
      <x:c r="J20" s="32" t="str">
        <x:v>Replace</x:v>
      </x:c>
      <x:c r="K20" s="35"/>
      <x:c r="L20" s="34" t="str">
        <x:f>IF(K20="","",D20*K20)</x:f>
      </x:c>
      <x:c r="M20" s="32" t="str">
        <x:v>Keep only for low-speed UI/prototype input</x:v>
      </x:c>
    </x:row>
    <x:row r="21" ht="42" customHeight="1">
      <x:c r="A21" s="31" t="str">
        <x:v>SNS-001</x:v>
      </x:c>
      <x:c r="B21" s="31" t="str">
        <x:v>Perception</x:v>
      </x:c>
      <x:c r="C21" s="31" t="str">
        <x:v>2D LiDAR</x:v>
      </x:c>
      <x:c r="D21" s="33" t="n">
        <x:v>1</x:v>
      </x:c>
      <x:c r="E21" s="31" t="str">
        <x:v>Required</x:v>
      </x:c>
      <x:c r="F21" s="31" t="str">
        <x:v>Customized hardware; protocol/model TBD</x:v>
      </x:c>
      <x:c r="G21" s="31" t="str">
        <x:v>USB or UART to Jetson</x:v>
      </x:c>
      <x:c r="H21" s="32" t="str">
        <x:v>ROS driver must publish sensor_msgs/LaserScan with valid timing</x:v>
      </x:c>
      <x:c r="I21" s="32" t="str">
        <x:v>Concept hardware</x:v>
      </x:c>
      <x:c r="J21" s="32" t="str">
        <x:v>Blocker</x:v>
      </x:c>
      <x:c r="K21" s="35"/>
      <x:c r="L21" s="34" t="str">
        <x:f>IF(K21="","",D21*K21)</x:f>
      </x:c>
      <x:c r="M21" s="32" t="str">
        <x:v>Document electrical interface, scan rate and ROS driver</x:v>
      </x:c>
    </x:row>
    <x:row r="22" ht="42" customHeight="1">
      <x:c r="A22" s="31" t="str">
        <x:v>SNS-002</x:v>
      </x:c>
      <x:c r="B22" s="31" t="str">
        <x:v>Perception</x:v>
      </x:c>
      <x:c r="C22" s="31" t="str">
        <x:v>IMX219 wide-angle camera</x:v>
      </x:c>
      <x:c r="D22" s="33" t="n">
        <x:v>1</x:v>
      </x:c>
      <x:c r="E22" s="31" t="str">
        <x:v>Optional</x:v>
      </x:c>
      <x:c r="F22" s="31" t="str">
        <x:v>IMX219 CSI camera</x:v>
      </x:c>
      <x:c r="G22" s="31" t="str">
        <x:v>Jetson CSI</x:v>
      </x:c>
      <x:c r="H22" s="32" t="str">
        <x:v>Confirm ribbon orientation, field of view, focus and driver support</x:v>
      </x:c>
      <x:c r="I22" s="32" t="str">
        <x:v>CAD asset</x:v>
      </x:c>
      <x:c r="J22" s="32" t="str">
        <x:v>Verify</x:v>
      </x:c>
      <x:c r="K22" s="35"/>
      <x:c r="L22" s="34" t="str">
        <x:f>IF(K22="","",D22*K22)</x:f>
      </x:c>
      <x:c r="M22" s="32" t="str">
        <x:v>Capture calibration images and create camera_info YAML</x:v>
      </x:c>
    </x:row>
    <x:row r="23" ht="42" customHeight="1">
      <x:c r="A23" s="31" t="str">
        <x:v>SNS-003</x:v>
      </x:c>
      <x:c r="B23" s="31" t="str">
        <x:v>Localization</x:v>
      </x:c>
      <x:c r="C23" s="31" t="str">
        <x:v>MPU-6050 IMU</x:v>
      </x:c>
      <x:c r="D23" s="33" t="n">
        <x:v>1</x:v>
      </x:c>
      <x:c r="E23" s="31" t="str">
        <x:v>Required</x:v>
      </x:c>
      <x:c r="F23" s="31" t="str">
        <x:v>MPU-6050 breakout</x:v>
      </x:c>
      <x:c r="G23" s="31" t="str">
        <x:v>Arduino I2C A4/A5</x:v>
      </x:c>
      <x:c r="H23" s="32" t="str">
        <x:v>Rigid mount; calibrate bias/scale; no magnetometer heading</x:v>
      </x:c>
      <x:c r="I23" s="32" t="str">
        <x:v>Concept hardware</x:v>
      </x:c>
      <x:c r="J23" s="32" t="str">
        <x:v>Verify</x:v>
      </x:c>
      <x:c r="K23" s="35"/>
      <x:c r="L23" s="34" t="str">
        <x:f>IF(K23="","",D23*K23)</x:f>
      </x:c>
      <x:c r="M23" s="32" t="str">
        <x:v>Run stationary bias and axis-orientation calibration</x:v>
      </x:c>
    </x:row>
    <x:row r="24" ht="42" customHeight="1">
      <x:c r="A24" s="31" t="str">
        <x:v>SNS-004</x:v>
      </x:c>
      <x:c r="B24" s="31" t="str">
        <x:v>Localization</x:v>
      </x:c>
      <x:c r="C24" s="31" t="str">
        <x:v>u-blox NEO-6M GNSS</x:v>
      </x:c>
      <x:c r="D24" s="33" t="n">
        <x:v>1</x:v>
      </x:c>
      <x:c r="E24" s="31" t="str">
        <x:v>Optional</x:v>
      </x:c>
      <x:c r="F24" s="31" t="str">
        <x:v>NEO-6M with antenna</x:v>
      </x:c>
      <x:c r="G24" s="31" t="str">
        <x:v>Jetson USB/UART</x:v>
      </x:c>
      <x:c r="H24" s="32" t="str">
        <x:v>Outdoor use; 3.3 V UART levels; GNSS does not replace local odometry</x:v>
      </x:c>
      <x:c r="I24" s="32" t="str">
        <x:v>Concept hardware</x:v>
      </x:c>
      <x:c r="J24" s="32" t="str">
        <x:v>Verify</x:v>
      </x:c>
      <x:c r="K24" s="35"/>
      <x:c r="L24" s="34" t="str">
        <x:f>IF(K24="","",D24*K24)</x:f>
      </x:c>
      <x:c r="M24" s="32" t="str">
        <x:v>Confirm voltage/logic levels and outdoor fix quality</x:v>
      </x:c>
    </x:row>
    <x:row r="25" ht="42" customHeight="1">
      <x:c r="A25" s="31" t="str">
        <x:v>SNS-005</x:v>
      </x:c>
      <x:c r="B25" s="31" t="str">
        <x:v>Safety sensing</x:v>
      </x:c>
      <x:c r="C25" s="31" t="str">
        <x:v>HC-SR04 ultrasonic module</x:v>
      </x:c>
      <x:c r="D25" s="33" t="n">
        <x:v>1</x:v>
      </x:c>
      <x:c r="E25" s="31" t="str">
        <x:v>Optional</x:v>
      </x:c>
      <x:c r="F25" s="31" t="str">
        <x:v>HC-SR04</x:v>
      </x:c>
      <x:c r="G25" s="31" t="str">
        <x:v>Arduino pins 11/A0; 5 V</x:v>
      </x:c>
      <x:c r="H25" s="32" t="str">
        <x:v>Front proximity aid only; not a safety-rated protective device</x:v>
      </x:c>
      <x:c r="I25" s="32" t="str">
        <x:v>Concept hardware</x:v>
      </x:c>
      <x:c r="J25" s="32" t="str">
        <x:v>Verify</x:v>
      </x:c>
      <x:c r="K25" s="35"/>
      <x:c r="L25" s="34" t="str">
        <x:f>IF(K25="","",D25*K25)</x:f>
      </x:c>
      <x:c r="M25" s="32" t="str">
        <x:v>Measure blind zone, cone and mounting crosstalk</x:v>
      </x:c>
    </x:row>
    <x:row r="26" ht="42" customHeight="1">
      <x:c r="A26" s="31" t="str">
        <x:v>PWR-001</x:v>
      </x:c>
      <x:c r="B26" s="31" t="str">
        <x:v>Power</x:v>
      </x:c>
      <x:c r="C26" s="31" t="str">
        <x:v>Matched 18650 cells</x:v>
      </x:c>
      <x:c r="D26" s="33" t="n">
        <x:v>4</x:v>
      </x:c>
      <x:c r="E26" s="31" t="str">
        <x:v>Required</x:v>
      </x:c>
      <x:c r="F26" s="31" t="str">
        <x:v>2S2P implied by CAD holder; cell model TBD</x:v>
      </x:c>
      <x:c r="G26" s="31" t="str">
        <x:v>2S pack</x:v>
      </x:c>
      <x:c r="H26" s="32" t="str">
        <x:v>Use identical genuine protected-grade cells from one batch; never mix condition/capacity</x:v>
      </x:c>
      <x:c r="I26" s="32" t="str">
        <x:v>Concept/CAD</x:v>
      </x:c>
      <x:c r="J26" s="32" t="str">
        <x:v>Blocker</x:v>
      </x:c>
      <x:c r="K26" s="35"/>
      <x:c r="L26" s="34" t="str">
        <x:f>IF(K26="","",D26*K26)</x:f>
      </x:c>
      <x:c r="M26" s="32" t="str">
        <x:v>Have pack assembled/inspected by a qualified person</x:v>
      </x:c>
    </x:row>
    <x:row r="27" ht="42" customHeight="1">
      <x:c r="A27" s="31" t="str">
        <x:v>PWR-002</x:v>
      </x:c>
      <x:c r="B27" s="31" t="str">
        <x:v>Power</x:v>
      </x:c>
      <x:c r="C27" s="31" t="str">
        <x:v>2S battery management system</x:v>
      </x:c>
      <x:c r="D27" s="33" t="n">
        <x:v>1</x:v>
      </x:c>
      <x:c r="E27" s="31" t="str">
        <x:v>Required</x:v>
      </x:c>
      <x:c r="F27" s="31" t="str">
        <x:v>Current/chemistry rating TBD</x:v>
      </x:c>
      <x:c r="G27" s="31" t="str">
        <x:v>Inside battery pack</x:v>
      </x:c>
      <x:c r="H27" s="32" t="str">
        <x:v>Over-charge, over-discharge, over-current and balancing appropriate to cells</x:v>
      </x:c>
      <x:c r="I27" s="32" t="str">
        <x:v>Required safety add</x:v>
      </x:c>
      <x:c r="J27" s="32" t="str">
        <x:v>Blocker</x:v>
      </x:c>
      <x:c r="K27" s="35"/>
      <x:c r="L27" s="34" t="str">
        <x:f>IF(K27="","",D27*K27)</x:f>
      </x:c>
      <x:c r="M27" s="32" t="str">
        <x:v>Select from measured peak/stall current and cell datasheet</x:v>
      </x:c>
    </x:row>
    <x:row r="28" ht="42" customHeight="1">
      <x:c r="A28" s="31" t="str">
        <x:v>PWR-003</x:v>
      </x:c>
      <x:c r="B28" s="31" t="str">
        <x:v>Power</x:v>
      </x:c>
      <x:c r="C28" s="31" t="str">
        <x:v>Main fuse and holder</x:v>
      </x:c>
      <x:c r="D28" s="33" t="n">
        <x:v>1</x:v>
      </x:c>
      <x:c r="E28" s="31" t="str">
        <x:v>Required</x:v>
      </x:c>
      <x:c r="F28" s="31" t="str">
        <x:v>Rating TBD after fault-current analysis</x:v>
      </x:c>
      <x:c r="G28" s="31" t="str">
        <x:v>Pack positive, close to cells</x:v>
      </x:c>
      <x:c r="H28" s="32" t="str">
        <x:v>DC-rated interrupt capacity and cable protection</x:v>
      </x:c>
      <x:c r="I28" s="32" t="str">
        <x:v>Required safety add</x:v>
      </x:c>
      <x:c r="J28" s="32" t="str">
        <x:v>Blocker</x:v>
      </x:c>
      <x:c r="K28" s="35"/>
      <x:c r="L28" s="34" t="str">
        <x:f>IF(K28="","",D28*K28)</x:f>
      </x:c>
      <x:c r="M28" s="32" t="str">
        <x:v>Calculate wire ampacity and select fuse below weakest link</x:v>
      </x:c>
    </x:row>
    <x:row r="29" ht="42" customHeight="1">
      <x:c r="A29" s="31" t="str">
        <x:v>PWR-004</x:v>
      </x:c>
      <x:c r="B29" s="31" t="str">
        <x:v>Power</x:v>
      </x:c>
      <x:c r="C29" s="31" t="str">
        <x:v>Physical dual-contact E-stop</x:v>
      </x:c>
      <x:c r="D29" s="33" t="n">
        <x:v>1</x:v>
      </x:c>
      <x:c r="E29" s="31" t="str">
        <x:v>Required</x:v>
      </x:c>
      <x:c r="F29" s="31" t="str">
        <x:v>Latching twist-release; current rating TBD</x:v>
      </x:c>
      <x:c r="G29" s="31" t="str">
        <x:v>Motor power contact + NC monitor contact</x:v>
      </x:c>
      <x:c r="H29" s="32" t="str">
        <x:v>One contact removes motor energy; one NC auxiliary loop reports open/fault</x:v>
      </x:c>
      <x:c r="I29" s="32" t="str">
        <x:v>Required safety add</x:v>
      </x:c>
      <x:c r="J29" s="32" t="str">
        <x:v>Blocker</x:v>
      </x:c>
      <x:c r="K29" s="35"/>
      <x:c r="L29" s="34" t="str">
        <x:f>IF(K29="","",D29*K29)</x:f>
      </x:c>
      <x:c r="M29" s="32" t="str">
        <x:v>Perform continuity, broken-wire and power-removal tests</x:v>
      </x:c>
    </x:row>
    <x:row r="30" ht="42" customHeight="1">
      <x:c r="A30" s="31" t="str">
        <x:v>PWR-005</x:v>
      </x:c>
      <x:c r="B30" s="31" t="str">
        <x:v>Power</x:v>
      </x:c>
      <x:c r="C30" s="31" t="str">
        <x:v>Main power switch</x:v>
      </x:c>
      <x:c r="D30" s="33" t="n">
        <x:v>1</x:v>
      </x:c>
      <x:c r="E30" s="31" t="str">
        <x:v>Required</x:v>
      </x:c>
      <x:c r="F30" s="31" t="str">
        <x:v>Keyed/guarded switch recommended</x:v>
      </x:c>
      <x:c r="G30" s="31" t="str">
        <x:v>Battery distribution</x:v>
      </x:c>
      <x:c r="H30" s="32" t="str">
        <x:v>DC load rating above measured continuous current</x:v>
      </x:c>
      <x:c r="I30" s="32" t="str">
        <x:v>Add</x:v>
      </x:c>
      <x:c r="J30" s="32" t="str">
        <x:v>TBD</x:v>
      </x:c>
      <x:c r="K30" s="35"/>
      <x:c r="L30" s="34" t="str">
        <x:f>IF(K30="","",D30*K30)</x:f>
      </x:c>
      <x:c r="M30" s="32" t="str">
        <x:v>Select after power-budget measurement</x:v>
      </x:c>
    </x:row>
    <x:row r="31" ht="42" customHeight="1">
      <x:c r="A31" s="31" t="str">
        <x:v>PWR-006</x:v>
      </x:c>
      <x:c r="B31" s="31" t="str">
        <x:v>Power</x:v>
      </x:c>
      <x:c r="C31" s="31" t="str">
        <x:v>5 V regulated compute supply</x:v>
      </x:c>
      <x:c r="D31" s="33" t="n">
        <x:v>1</x:v>
      </x:c>
      <x:c r="E31" s="31" t="str">
        <x:v>Required</x:v>
      </x:c>
      <x:c r="F31" s="31" t="str">
        <x:v>LM2596 appears in concept; higher-current regulator may be needed</x:v>
      </x:c>
      <x:c r="G31" s="31" t="str">
        <x:v>2S pack to Jetson 5 V rail</x:v>
      </x:c>
      <x:c r="H31" s="32" t="str">
        <x:v>Low ripple; transient headroom; short-circuit/thermal protection</x:v>
      </x:c>
      <x:c r="I31" s="32" t="str">
        <x:v>Concept hardware</x:v>
      </x:c>
      <x:c r="J31" s="32" t="str">
        <x:v>Blocker</x:v>
      </x:c>
      <x:c r="K31" s="35"/>
      <x:c r="L31" s="34" t="str">
        <x:f>IF(K31="","",D31*K31)</x:f>
      </x:c>
      <x:c r="M31" s="32" t="str">
        <x:v>Load-test at Jetson peak current and verify connector polarity</x:v>
      </x:c>
    </x:row>
    <x:row r="32" ht="42" customHeight="1">
      <x:c r="A32" s="31" t="str">
        <x:v>PWR-007</x:v>
      </x:c>
      <x:c r="B32" s="31" t="str">
        <x:v>Power</x:v>
      </x:c>
      <x:c r="C32" s="31" t="str">
        <x:v>Battery voltage divider</x:v>
      </x:c>
      <x:c r="D32" s="33" t="n">
        <x:v>1</x:v>
      </x:c>
      <x:c r="E32" s="31" t="str">
        <x:v>Required</x:v>
      </x:c>
      <x:c r="F32" s="31" t="str">
        <x:v>100 kΩ / 47 kΩ firmware default; verify</x:v>
      </x:c>
      <x:c r="G32" s="31" t="str">
        <x:v>Pack sense to Arduino A2</x:v>
      </x:c>
      <x:c r="H32" s="32" t="str">
        <x:v>ADC must never exceed reference; calibrate against a trusted meter</x:v>
      </x:c>
      <x:c r="I32" s="32" t="str">
        <x:v>Firmware default</x:v>
      </x:c>
      <x:c r="J32" s="32" t="str">
        <x:v>Verify</x:v>
      </x:c>
      <x:c r="K32" s="35"/>
      <x:c r="L32" s="34" t="str">
        <x:f>IF(K32="","",D32*K32)</x:f>
      </x:c>
      <x:c r="M32" s="32" t="str">
        <x:v>Measure resistors and fit scale factor at two voltages</x:v>
      </x:c>
    </x:row>
    <x:row r="33" ht="42" customHeight="1">
      <x:c r="A33" s="31" t="str">
        <x:v>NET-001</x:v>
      </x:c>
      <x:c r="B33" s="31" t="str">
        <x:v>Connectivity</x:v>
      </x:c>
      <x:c r="C33" s="31" t="str">
        <x:v>USB A-to-B data cable</x:v>
      </x:c>
      <x:c r="D33" s="33" t="n">
        <x:v>1</x:v>
      </x:c>
      <x:c r="E33" s="31" t="str">
        <x:v>Required</x:v>
      </x:c>
      <x:c r="F33" s="31" t="str">
        <x:v>Shielded cable</x:v>
      </x:c>
      <x:c r="G33" s="31" t="str">
        <x:v>Jetson to Arduino</x:v>
      </x:c>
      <x:c r="H33" s="32" t="str">
        <x:v>Data-capable, strain-relieved and separated from motor leads</x:v>
      </x:c>
      <x:c r="I33" s="32" t="str">
        <x:v>Add</x:v>
      </x:c>
      <x:c r="J33" s="32" t="str">
        <x:v>TBD</x:v>
      </x:c>
      <x:c r="K33" s="35"/>
      <x:c r="L33" s="34" t="str">
        <x:f>IF(K33="","",D33*K33)</x:f>
      </x:c>
      <x:c r="M33" s="32" t="str">
        <x:v>Fit ferrite only if testing shows it is needed</x:v>
      </x:c>
    </x:row>
    <x:row r="34" ht="42" customHeight="1">
      <x:c r="A34" s="31" t="str">
        <x:v>NET-002</x:v>
      </x:c>
      <x:c r="B34" s="31" t="str">
        <x:v>Connectivity</x:v>
      </x:c>
      <x:c r="C34" s="31" t="str">
        <x:v>GNSS USB-UART adapter</x:v>
      </x:c>
      <x:c r="D34" s="33" t="n">
        <x:v>1</x:v>
      </x:c>
      <x:c r="E34" s="31" t="str">
        <x:v>Optional</x:v>
      </x:c>
      <x:c r="F34" s="31" t="str">
        <x:v>3.3 V logic adapter if module lacks USB</x:v>
      </x:c>
      <x:c r="G34" s="31" t="str">
        <x:v>Jetson USB to NEO-6M</x:v>
      </x:c>
      <x:c r="H34" s="32" t="str">
        <x:v>Do not expose Jetson UART to 5 V logic</x:v>
      </x:c>
      <x:c r="I34" s="32" t="str">
        <x:v>Conditional</x:v>
      </x:c>
      <x:c r="J34" s="32" t="str">
        <x:v>TBD</x:v>
      </x:c>
      <x:c r="K34" s="35"/>
      <x:c r="L34" s="34" t="str">
        <x:f>IF(K34="","",D34*K34)</x:f>
      </x:c>
      <x:c r="M34" s="32" t="str">
        <x:v>Confirm module carrier interface before purchase</x:v>
      </x:c>
    </x:row>
    <x:row r="35" ht="42" customHeight="1">
      <x:c r="A35" s="31" t="str">
        <x:v>MEC-001</x:v>
      </x:c>
      <x:c r="B35" s="31" t="str">
        <x:v>Mechanical</x:v>
      </x:c>
      <x:c r="C35" s="31" t="str">
        <x:v>Base, top and bottom covers</x:v>
      </x:c>
      <x:c r="D35" s="33" t="n">
        <x:v>1</x:v>
      </x:c>
      <x:c r="E35" s="31" t="str">
        <x:v>Required</x:v>
      </x:c>
      <x:c r="F35" s="31" t="str">
        <x:v>SolidWorks source under 3D_Mechanical_Design</x:v>
      </x:c>
      <x:c r="G35" s="31" t="str">
        <x:v>Mechanical</x:v>
      </x:c>
      <x:c r="H35" s="32" t="str">
        <x:v>Check sharp edges, service access, ventilation and cable paths</x:v>
      </x:c>
      <x:c r="I35" s="32" t="str">
        <x:v>CAD asset</x:v>
      </x:c>
      <x:c r="J35" s="32" t="str">
        <x:v>Verify</x:v>
      </x:c>
      <x:c r="K35" s="35"/>
      <x:c r="L35" s="34" t="str">
        <x:f>IF(K35="","",D35*K35)</x:f>
      </x:c>
      <x:c r="M35" s="32" t="str">
        <x:v>Export manufacturing drawings and record material/finish</x:v>
      </x:c>
    </x:row>
    <x:row r="36" ht="42" customHeight="1">
      <x:c r="A36" s="31" t="str">
        <x:v>MEC-002</x:v>
      </x:c>
      <x:c r="B36" s="31" t="str">
        <x:v>Mechanical</x:v>
      </x:c>
      <x:c r="C36" s="31" t="str">
        <x:v>Motor mount</x:v>
      </x:c>
      <x:c r="D36" s="33" t="n">
        <x:v>2</x:v>
      </x:c>
      <x:c r="E36" s="31" t="str">
        <x:v>Required</x:v>
      </x:c>
      <x:c r="F36" s="31" t="str">
        <x:v>Motor_mount.step / SLDPRT</x:v>
      </x:c>
      <x:c r="G36" s="31" t="str">
        <x:v>Mechanical</x:v>
      </x:c>
      <x:c r="H36" s="32" t="str">
        <x:v>No flex or shaft misalignment at peak wheel load</x:v>
      </x:c>
      <x:c r="I36" s="32" t="str">
        <x:v>CAD asset</x:v>
      </x:c>
      <x:c r="J36" s="32" t="str">
        <x:v>Verify</x:v>
      </x:c>
      <x:c r="K36" s="35"/>
      <x:c r="L36" s="34" t="str">
        <x:f>IF(K36="","",D36*K36)</x:f>
      </x:c>
      <x:c r="M36" s="32" t="str">
        <x:v>Print/machine, torque fasteners and inspect alignment</x:v>
      </x:c>
    </x:row>
    <x:row r="37" ht="42" customHeight="1">
      <x:c r="A37" s="31" t="str">
        <x:v>MEC-003</x:v>
      </x:c>
      <x:c r="B37" s="31" t="str">
        <x:v>Mechanical</x:v>
      </x:c>
      <x:c r="C37" s="31" t="str">
        <x:v>LiDAR plate</x:v>
      </x:c>
      <x:c r="D37" s="33" t="n">
        <x:v>1</x:v>
      </x:c>
      <x:c r="E37" s="31" t="str">
        <x:v>Required</x:v>
      </x:c>
      <x:c r="F37" s="31" t="str">
        <x:v>LiDAR Plate.SLDPRT</x:v>
      </x:c>
      <x:c r="G37" s="31" t="str">
        <x:v>Mechanical</x:v>
      </x:c>
      <x:c r="H37" s="32" t="str">
        <x:v>Level, rigid and unobstructed scan plane</x:v>
      </x:c>
      <x:c r="I37" s="32" t="str">
        <x:v>CAD asset</x:v>
      </x:c>
      <x:c r="J37" s="32" t="str">
        <x:v>Verify</x:v>
      </x:c>
      <x:c r="K37" s="35"/>
      <x:c r="L37" s="34" t="str">
        <x:f>IF(K37="","",D37*K37)</x:f>
      </x:c>
      <x:c r="M37" s="32" t="str">
        <x:v>Measure transform from base_link and update URDF</x:v>
      </x:c>
    </x:row>
    <x:row r="38" ht="42" customHeight="1">
      <x:c r="A38" s="31" t="str">
        <x:v>MEC-004</x:v>
      </x:c>
      <x:c r="B38" s="31" t="str">
        <x:v>Mechanical</x:v>
      </x:c>
      <x:c r="C38" s="31" t="str">
        <x:v>Camera holder</x:v>
      </x:c>
      <x:c r="D38" s="33" t="n">
        <x:v>1</x:v>
      </x:c>
      <x:c r="E38" s="31" t="str">
        <x:v>Optional</x:v>
      </x:c>
      <x:c r="F38" s="31" t="str">
        <x:v>Camera Holder.SLDPRT</x:v>
      </x:c>
      <x:c r="G38" s="31" t="str">
        <x:v>Mechanical</x:v>
      </x:c>
      <x:c r="H38" s="32" t="str">
        <x:v>Rigid with repeatable pitch and clear field of view</x:v>
      </x:c>
      <x:c r="I38" s="32" t="str">
        <x:v>CAD asset</x:v>
      </x:c>
      <x:c r="J38" s="32" t="str">
        <x:v>Verify</x:v>
      </x:c>
      <x:c r="K38" s="35"/>
      <x:c r="L38" s="34" t="str">
        <x:f>IF(K38="","",D38*K38)</x:f>
      </x:c>
      <x:c r="M38" s="32" t="str">
        <x:v>Measure optical transform and calibrate intrinsics</x:v>
      </x:c>
    </x:row>
    <x:row r="39" ht="42" customHeight="1">
      <x:c r="A39" s="31" t="str">
        <x:v>MEC-005</x:v>
      </x:c>
      <x:c r="B39" s="31" t="str">
        <x:v>Mechanical</x:v>
      </x:c>
      <x:c r="C39" s="31" t="str">
        <x:v>Ultrasonic holder</x:v>
      </x:c>
      <x:c r="D39" s="33" t="n">
        <x:v>1</x:v>
      </x:c>
      <x:c r="E39" s="31" t="str">
        <x:v>Optional</x:v>
      </x:c>
      <x:c r="F39" s="31" t="str">
        <x:v>Ultrasound Holder.SLDPRT</x:v>
      </x:c>
      <x:c r="G39" s="31" t="str">
        <x:v>Mechanical</x:v>
      </x:c>
      <x:c r="H39" s="32" t="str">
        <x:v>No chassis reflections inside sensor cone</x:v>
      </x:c>
      <x:c r="I39" s="32" t="str">
        <x:v>CAD asset</x:v>
      </x:c>
      <x:c r="J39" s="32" t="str">
        <x:v>Verify</x:v>
      </x:c>
      <x:c r="K39" s="35"/>
      <x:c r="L39" s="34" t="str">
        <x:f>IF(K39="","",D39*K39)</x:f>
      </x:c>
      <x:c r="M39" s="32" t="str">
        <x:v>Range-test after final assembly</x:v>
      </x:c>
    </x:row>
    <x:row r="40" ht="42" customHeight="1">
      <x:c r="A40" s="31" t="str">
        <x:v>MEC-006</x:v>
      </x:c>
      <x:c r="B40" s="31" t="str">
        <x:v>Mechanical</x:v>
      </x:c>
      <x:c r="C40" s="31" t="str">
        <x:v>Fasteners, spacers and locking hardware</x:v>
      </x:c>
      <x:c r="D40" s="33" t="n">
        <x:v>1</x:v>
      </x:c>
      <x:c r="E40" s="31" t="str">
        <x:v>Required</x:v>
      </x:c>
      <x:c r="F40" s="31" t="str">
        <x:v>M3 hardware appears in CAD; schedule TBD</x:v>
      </x:c>
      <x:c r="G40" s="31" t="str">
        <x:v>Mechanical</x:v>
      </x:c>
      <x:c r="H40" s="32" t="str">
        <x:v>Use correct length, thread engagement and vibration retention</x:v>
      </x:c>
      <x:c r="I40" s="32" t="str">
        <x:v>Partial CAD</x:v>
      </x:c>
      <x:c r="J40" s="32" t="str">
        <x:v>TBD</x:v>
      </x:c>
      <x:c r="K40" s="35"/>
      <x:c r="L40" s="34" t="str">
        <x:f>IF(K40="","",D40*K40)</x:f>
      </x:c>
      <x:c r="M40" s="32" t="str">
        <x:v>Create drawing-derived fastener schedule</x:v>
      </x:c>
    </x:row>
    <x:row r="41" ht="42" customHeight="1">
      <x:c r="A41" s="31" t="str">
        <x:v>WIR-001</x:v>
      </x:c>
      <x:c r="B41" s="31" t="str">
        <x:v>Wiring</x:v>
      </x:c>
      <x:c r="C41" s="31" t="str">
        <x:v>Color-coded stranded wire and terminals</x:v>
      </x:c>
      <x:c r="D41" s="33" t="n">
        <x:v>1</x:v>
      </x:c>
      <x:c r="E41" s="31" t="str">
        <x:v>Required</x:v>
      </x:c>
      <x:c r="F41" s="31" t="str">
        <x:v>Gauge and connector family TBD</x:v>
      </x:c>
      <x:c r="G41" s="31" t="str">
        <x:v>Power and signal harnesses</x:v>
      </x:c>
      <x:c r="H41" s="32" t="str">
        <x:v>Size from measured current; crimp with correct tooling; label both ends</x:v>
      </x:c>
      <x:c r="I41" s="32" t="str">
        <x:v>Add</x:v>
      </x:c>
      <x:c r="J41" s="32" t="str">
        <x:v>Blocker</x:v>
      </x:c>
      <x:c r="K41" s="35"/>
      <x:c r="L41" s="34" t="str">
        <x:f>IF(K41="","",D41*K41)</x:f>
      </x:c>
      <x:c r="M41" s="32" t="str">
        <x:v>Create harness drawing and pull-test sample crimps</x:v>
      </x:c>
    </x:row>
    <x:row r="42" ht="42" customHeight="1">
      <x:c r="A42" s="31" t="str">
        <x:v>WIR-002</x:v>
      </x:c>
      <x:c r="B42" s="31" t="str">
        <x:v>Wiring</x:v>
      </x:c>
      <x:c r="C42" s="31" t="str">
        <x:v>Motor noise suppression</x:v>
      </x:c>
      <x:c r="D42" s="33" t="n">
        <x:v>2</x:v>
      </x:c>
      <x:c r="E42" s="31" t="str">
        <x:v>Required</x:v>
      </x:c>
      <x:c r="F42" s="31" t="str">
        <x:v>Capacitors/ferrites as validated</x:v>
      </x:c>
      <x:c r="G42" s="31" t="str">
        <x:v>At motor terminals/harness</x:v>
      </x:c>
      <x:c r="H42" s="32" t="str">
        <x:v>Select from scope testing; keep motor loops short and twisted</x:v>
      </x:c>
      <x:c r="I42" s="32" t="str">
        <x:v>Add</x:v>
      </x:c>
      <x:c r="J42" s="32" t="str">
        <x:v>TBD</x:v>
      </x:c>
      <x:c r="K42" s="35"/>
      <x:c r="L42" s="34" t="str">
        <x:f>IF(K42="","",D42*K42)</x:f>
      </x:c>
      <x:c r="M42" s="32" t="str">
        <x:v>Check resets/serial CRC errors under acceleration</x:v>
      </x:c>
    </x:row>
    <x:row r="43" ht="42" customHeight="1">
      <x:c r="A43" s="31" t="str">
        <x:v>WIR-003</x:v>
      </x:c>
      <x:c r="B43" s="31" t="str">
        <x:v>Wiring</x:v>
      </x:c>
      <x:c r="C43" s="31" t="str">
        <x:v>Distribution board or fused terminal block</x:v>
      </x:c>
      <x:c r="D43" s="33" t="n">
        <x:v>1</x:v>
      </x:c>
      <x:c r="E43" s="31" t="str">
        <x:v>Required</x:v>
      </x:c>
      <x:c r="F43" s="31" t="str">
        <x:v>Exact implementation TBD</x:v>
      </x:c>
      <x:c r="G43" s="31" t="str">
        <x:v>Battery, motor and logic rails</x:v>
      </x:c>
      <x:c r="H43" s="32" t="str">
        <x:v>Star return plan; strain relief; no exposed energized conductors</x:v>
      </x:c>
      <x:c r="I43" s="32" t="str">
        <x:v>Missing from concept</x:v>
      </x:c>
      <x:c r="J43" s="32" t="str">
        <x:v>Blocker</x:v>
      </x:c>
      <x:c r="K43" s="35"/>
      <x:c r="L43" s="34" t="str">
        <x:f>IF(K43="","",D43*K43)</x:f>
      </x:c>
      <x:c r="M43" s="32" t="str">
        <x:v>Create schematic and peer-review before power-up</x:v>
      </x:c>
    </x:row>
    <x:row r="44" ht="42" customHeight="1">
      <x:c r="A44" s="31" t="str">
        <x:v>LAB-001</x:v>
      </x:c>
      <x:c r="B44" s="31" t="str">
        <x:v>Commissioning</x:v>
      </x:c>
      <x:c r="C44" s="31" t="str">
        <x:v>Current-limited bench supply</x:v>
      </x:c>
      <x:c r="D44" s="33" t="n">
        <x:v>1</x:v>
      </x:c>
      <x:c r="E44" s="31" t="str">
        <x:v>Tool</x:v>
      </x:c>
      <x:c r="F44" s="31" t="str">
        <x:v>Appropriate voltage/current range</x:v>
      </x:c>
      <x:c r="G44" s="31" t="str">
        <x:v>Lab equipment</x:v>
      </x:c>
      <x:c r="H44" s="32" t="str">
        <x:v>Use for first power and motor polarity tests</x:v>
      </x:c>
      <x:c r="I44" s="32" t="str">
        <x:v>Tool</x:v>
      </x:c>
      <x:c r="J44" s="32" t="str">
        <x:v>Verify</x:v>
      </x:c>
      <x:c r="K44" s="35"/>
      <x:c r="L44" s="34" t="str">
        <x:f>IF(K44="","",D44*K44)</x:f>
      </x:c>
      <x:c r="M44" s="32" t="str">
        <x:v>Record current limits in commissioning log</x:v>
      </x:c>
    </x:row>
    <x:row r="45" ht="42" customHeight="1">
      <x:c r="A45" s="31" t="str">
        <x:v>LAB-002</x:v>
      </x:c>
      <x:c r="B45" s="31" t="str">
        <x:v>Commissioning</x:v>
      </x:c>
      <x:c r="C45" s="31" t="str">
        <x:v>Digital multimeter</x:v>
      </x:c>
      <x:c r="D45" s="33" t="n">
        <x:v>1</x:v>
      </x:c>
      <x:c r="E45" s="31" t="str">
        <x:v>Tool</x:v>
      </x:c>
      <x:c r="F45" s="31" t="str">
        <x:v>CAT/rating appropriate to work</x:v>
      </x:c>
      <x:c r="G45" s="31" t="str">
        <x:v>Lab equipment</x:v>
      </x:c>
      <x:c r="H45" s="32" t="str">
        <x:v>Verify polarity, rails, continuity and divider calibration</x:v>
      </x:c>
      <x:c r="I45" s="32" t="str">
        <x:v>Tool</x:v>
      </x:c>
      <x:c r="J45" s="32" t="str">
        <x:v>Verify</x:v>
      </x:c>
      <x:c r="K45" s="35"/>
      <x:c r="L45" s="34" t="str">
        <x:f>IF(K45="","",D45*K45)</x:f>
      </x:c>
      <x:c r="M45" s="32" t="str">
        <x:v>Check calibration status</x:v>
      </x:c>
    </x:row>
    <x:row r="47" ht="30" customHeight="1">
      <x:c r="A47" s="37" t="str">
        <x:v>Source basis: the original repository README and filenames in 3D_Mechanical_Design/P&amp;G Wildebeest_Pro. Added items are engineering controls or missing integration parts; exact vendor selections remain owner inputs.</x:v>
      </x:c>
      <x:c r="B47" s="37" t="str">
        <x:v>Source basis: the original repository README and filenames in 3D_Mechanical_Design/P&amp;G Wildebeest_Pro. Added items are engineering controls or missing integration parts; exact vendor selections remain owner inputs.</x:v>
      </x:c>
      <x:c r="C47" s="37" t="str">
        <x:v>Source basis: the original repository README and filenames in 3D_Mechanical_Design/P&amp;G Wildebeest_Pro. Added items are engineering controls or missing integration parts; exact vendor selections remain owner inputs.</x:v>
      </x:c>
      <x:c r="D47" s="37" t="str">
        <x:v>Source basis: the original repository README and filenames in 3D_Mechanical_Design/P&amp;G Wildebeest_Pro. Added items are engineering controls or missing integration parts; exact vendor selections remain owner inputs.</x:v>
      </x:c>
      <x:c r="E47" s="37" t="str">
        <x:v>Source basis: the original repository README and filenames in 3D_Mechanical_Design/P&amp;G Wildebeest_Pro. Added items are engineering controls or missing integration parts; exact vendor selections remain owner inputs.</x:v>
      </x:c>
      <x:c r="F47" s="37" t="str">
        <x:v>Source basis: the original repository README and filenames in 3D_Mechanical_Design/P&amp;G Wildebeest_Pro. Added items are engineering controls or missing integration parts; exact vendor selections remain owner inputs.</x:v>
      </x:c>
      <x:c r="G47" s="37" t="str">
        <x:v>Source basis: the original repository README and filenames in 3D_Mechanical_Design/P&amp;G Wildebeest_Pro. Added items are engineering controls or missing integration parts; exact vendor selections remain owner inputs.</x:v>
      </x:c>
      <x:c r="H47" s="37" t="str">
        <x:v>Source basis: the original repository README and filenames in 3D_Mechanical_Design/P&amp;G Wildebeest_Pro. Added items are engineering controls or missing integration parts; exact vendor selections remain owner inputs.</x:v>
      </x:c>
      <x:c r="I47" s="37" t="str">
        <x:v>Source basis: the original repository README and filenames in 3D_Mechanical_Design/P&amp;G Wildebeest_Pro. Added items are engineering controls or missing integration parts; exact vendor selections remain owner inputs.</x:v>
      </x:c>
      <x:c r="J47" s="37" t="str">
        <x:v>Source basis: the original repository README and filenames in 3D_Mechanical_Design/P&amp;G Wildebeest_Pro. Added items are engineering controls or missing integration parts; exact vendor selections remain owner inputs.</x:v>
      </x:c>
      <x:c r="K47" s="37" t="str">
        <x:v>Source basis: the original repository README and filenames in 3D_Mechanical_Design/P&amp;G Wildebeest_Pro. Added items are engineering controls or missing integration parts; exact vendor selections remain owner inputs.</x:v>
      </x:c>
      <x:c r="L47" s="37" t="str">
        <x:v>Source basis: the original repository README and filenames in 3D_Mechanical_Design/P&amp;G Wildebeest_Pro. Added items are engineering controls or missing integration parts; exact vendor selections remain owner inputs.</x:v>
      </x:c>
      <x:c r="M47" s="37" t="str">
        <x:v>Source basis: the original repository README and filenames in 3D_Mechanical_Design/P&amp;G Wildebeest_Pro. Added items are engineering controls or missing integration parts; exact vendor selections remain owner inputs.</x:v>
      </x:c>
    </x:row>
  </x:sheetData>
  <x:mergeCells>
    <x:mergeCell ref="A9:M9"/>
  </x:mergeCells>
  <x:conditionalFormatting sqref="J11:J45">
    <x:cfRule type="containsText" dxfId="0" priority="1" operator="containsText" text="Verified"/>
    <x:cfRule type="containsText" dxfId="1" priority="2" operator="containsText" text="Blocker"/>
    <x:cfRule type="containsText" dxfId="2" priority="3" operator="containsText" text="Replace"/>
    <x:cfRule type="containsText" dxfId="3" priority="4" operator="containsText" text="TBD"/>
  </x:conditionalFormatting>
  <x:conditionalFormatting sqref="G7:G7">
    <x:cfRule type="containsText" dxfId="4" priority="5" operator="containsText" text="BLOCKED"/>
  </x:conditionalFormatting>
  <x:dataValidations count="2">
    <x:dataValidation type="list" sqref="J11:J45">
      <x:formula1>"TBD,Verify,Verified,Blocker,Replace"</x:formula1>
    </x:dataValidation>
    <x:dataValidation type="decimal" operator="greaterThanOrEqual" sqref="K11:K4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232fb01aa24f1b"/>
  </x:tableParts>
</x:worksheet>
</file>